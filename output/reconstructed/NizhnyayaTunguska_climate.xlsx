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Siberian reconstruction ensemble/Siberia reconstruction/output/reconstructed/"/>
    </mc:Choice>
  </mc:AlternateContent>
  <xr:revisionPtr revIDLastSave="0" documentId="13_ncr:1_{B8B55DF9-E430-2E4C-9A11-EC6DA4BC9189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2" i="1"/>
  <c r="W3" i="1"/>
  <c r="W4" i="1"/>
  <c r="W5" i="1"/>
  <c r="W6" i="1"/>
  <c r="W7" i="1"/>
  <c r="W8" i="1"/>
  <c r="W9" i="1"/>
  <c r="W10" i="1"/>
  <c r="W11" i="1"/>
  <c r="W12" i="1"/>
  <c r="W13" i="1"/>
  <c r="W14" i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2" i="1"/>
  <c r="O3" i="1"/>
  <c r="O4" i="1"/>
  <c r="O5" i="1"/>
  <c r="O6" i="1"/>
  <c r="O7" i="1"/>
  <c r="O8" i="1"/>
  <c r="O9" i="1"/>
  <c r="O10" i="1"/>
  <c r="O11" i="1"/>
  <c r="O12" i="1"/>
  <c r="O13" i="1"/>
  <c r="O14" i="1"/>
  <c r="O2" i="1"/>
</calcChain>
</file>

<file path=xl/sharedStrings.xml><?xml version="1.0" encoding="utf-8"?>
<sst xmlns="http://schemas.openxmlformats.org/spreadsheetml/2006/main" count="35" uniqueCount="35">
  <si>
    <t>depth</t>
  </si>
  <si>
    <t>ages</t>
  </si>
  <si>
    <t>T_jan.mat</t>
  </si>
  <si>
    <t>T_jul.mat</t>
  </si>
  <si>
    <t>T_ann.mat</t>
  </si>
  <si>
    <t>P_ann.mat</t>
  </si>
  <si>
    <t>T_jan.wa</t>
  </si>
  <si>
    <t>T_jul.wa</t>
  </si>
  <si>
    <t>T_ann.wa</t>
  </si>
  <si>
    <t>P_ann.wa</t>
  </si>
  <si>
    <t>T_jan.wapls</t>
  </si>
  <si>
    <t>T_jul.wapls</t>
  </si>
  <si>
    <t>T_ann.wapls</t>
  </si>
  <si>
    <t>P_ann.wapls</t>
  </si>
  <si>
    <t>T_jan.rf</t>
  </si>
  <si>
    <t>T_jul.rf</t>
  </si>
  <si>
    <t>T_ann.rf</t>
  </si>
  <si>
    <t>P_ann.rf</t>
  </si>
  <si>
    <t>5</t>
  </si>
  <si>
    <t>8</t>
  </si>
  <si>
    <t>17</t>
  </si>
  <si>
    <t>20</t>
  </si>
  <si>
    <t>26</t>
  </si>
  <si>
    <t>29</t>
  </si>
  <si>
    <t>32</t>
  </si>
  <si>
    <t>35</t>
  </si>
  <si>
    <t>38</t>
  </si>
  <si>
    <t>41</t>
  </si>
  <si>
    <t>44</t>
  </si>
  <si>
    <t>47</t>
  </si>
  <si>
    <t>50</t>
  </si>
  <si>
    <t>PannRF_WAPLS</t>
  </si>
  <si>
    <t>PannRF_WA</t>
  </si>
  <si>
    <t>TannRF_WAPLS</t>
  </si>
  <si>
    <t>TannRF_WA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</si>
</sst>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topLeftCell="M1" zoomScale="131" workbookViewId="0">
      <selection activeCell="V5" sqref="V5"/>
    </sheetView>
  </sheetViews>
  <sheetFormatPr baseColWidth="10" defaultColWidth="8.83203125" defaultRowHeight="15" x14ac:dyDescent="0.2"/>
  <cols>
    <col min="2" max="2" width="4.5" customWidth="1"/>
    <col min="3" max="6" width="0" hidden="1" customWidth="1"/>
    <col min="7" max="7" width="12.6640625" bestFit="1" customWidth="1"/>
    <col min="8" max="8" width="12.1640625" bestFit="1" customWidth="1"/>
    <col min="9" max="9" width="12.6640625" bestFit="1" customWidth="1"/>
    <col min="10" max="10" width="12.1640625" bestFit="1" customWidth="1"/>
    <col min="11" max="11" width="8.83203125" customWidth="1"/>
    <col min="12" max="12" width="12.1640625" bestFit="1" customWidth="1"/>
    <col min="13" max="13" width="12.6640625" bestFit="1" customWidth="1"/>
    <col min="14" max="14" width="12.1640625" bestFit="1" customWidth="1"/>
    <col min="20" max="20" width="13" customWidth="1"/>
    <col min="21" max="21" width="12.83203125" customWidth="1"/>
    <col min="22" max="22" width="14.5" customWidth="1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31</v>
      </c>
      <c r="U1" s="1" t="s">
        <v>32</v>
      </c>
      <c r="V1" s="1" t="s">
        <v>33</v>
      </c>
      <c r="W1" s="1" t="s">
        <v>34</v>
      </c>
    </row>
    <row r="2" spans="1:23" x14ac:dyDescent="0.2">
      <c r="A2" t="s">
        <v>18</v>
      </c>
      <c r="B2">
        <v>-63</v>
      </c>
      <c r="C2">
        <v>-30.4</v>
      </c>
      <c r="D2">
        <v>13.75</v>
      </c>
      <c r="E2">
        <v>-10.94</v>
      </c>
      <c r="F2">
        <v>416.66666666666669</v>
      </c>
      <c r="G2">
        <v>-32.784257835772479</v>
      </c>
      <c r="H2">
        <v>13.55067245569704</v>
      </c>
      <c r="I2">
        <v>-10.5856710885196</v>
      </c>
      <c r="J2">
        <v>343.5474403998345</v>
      </c>
      <c r="K2">
        <v>-32.764804500671573</v>
      </c>
      <c r="L2">
        <v>13.272942845516461</v>
      </c>
      <c r="M2">
        <v>-11.098734563064699</v>
      </c>
      <c r="N2">
        <v>318.7220792228029</v>
      </c>
      <c r="O2">
        <f>B2-1950</f>
        <v>-2013</v>
      </c>
      <c r="P2">
        <v>-33.628710696869817</v>
      </c>
      <c r="Q2">
        <v>14.481047145651081</v>
      </c>
      <c r="R2">
        <v>-10.541577922426841</v>
      </c>
      <c r="S2">
        <v>334.99705801719227</v>
      </c>
      <c r="T2">
        <f>N2-S2</f>
        <v>-16.274978794389369</v>
      </c>
      <c r="U2">
        <f>J2-S2</f>
        <v>8.5503823826422263</v>
      </c>
      <c r="V2">
        <f>M2-R2</f>
        <v>-0.5571566406378583</v>
      </c>
      <c r="W2">
        <f>I2-R2</f>
        <v>-4.4093166092759262E-2</v>
      </c>
    </row>
    <row r="3" spans="1:23" x14ac:dyDescent="0.2">
      <c r="A3" t="s">
        <v>19</v>
      </c>
      <c r="B3">
        <v>-58</v>
      </c>
      <c r="C3">
        <v>-34.200000000000003</v>
      </c>
      <c r="D3">
        <v>15.1</v>
      </c>
      <c r="E3">
        <v>-9.4600000000000009</v>
      </c>
      <c r="F3">
        <v>337.66666666666669</v>
      </c>
      <c r="G3">
        <v>-32.629092876401032</v>
      </c>
      <c r="H3">
        <v>14.385064778753</v>
      </c>
      <c r="I3">
        <v>-9.9069736608115484</v>
      </c>
      <c r="J3">
        <v>357.15583175583322</v>
      </c>
      <c r="K3">
        <v>-32.723763538437467</v>
      </c>
      <c r="L3">
        <v>14.65205165193005</v>
      </c>
      <c r="M3">
        <v>-9.7608530302559853</v>
      </c>
      <c r="N3">
        <v>335.37697912032479</v>
      </c>
      <c r="O3">
        <f t="shared" ref="O3:O14" si="0">B3-1950</f>
        <v>-2008</v>
      </c>
      <c r="P3">
        <v>-33.198578468303943</v>
      </c>
      <c r="Q3">
        <v>15.217842711456271</v>
      </c>
      <c r="R3">
        <v>-9.6175053964394142</v>
      </c>
      <c r="S3">
        <v>362.44852527979538</v>
      </c>
      <c r="T3">
        <f t="shared" ref="T3:T14" si="1">N3-S3</f>
        <v>-27.071546159470586</v>
      </c>
      <c r="U3">
        <f t="shared" ref="U3:U14" si="2">J3-S3</f>
        <v>-5.2926935239621571</v>
      </c>
      <c r="V3">
        <f t="shared" ref="V3:V14" si="3">M3-R3</f>
        <v>-0.14334763381657112</v>
      </c>
      <c r="W3">
        <f t="shared" ref="W3:W14" si="4">I3-R3</f>
        <v>-0.28946826437213424</v>
      </c>
    </row>
    <row r="4" spans="1:23" x14ac:dyDescent="0.2">
      <c r="A4" t="s">
        <v>20</v>
      </c>
      <c r="B4">
        <v>-41</v>
      </c>
      <c r="C4">
        <v>-34.200000000000003</v>
      </c>
      <c r="D4">
        <v>17.2</v>
      </c>
      <c r="E4">
        <v>-7.78</v>
      </c>
      <c r="F4">
        <v>373</v>
      </c>
      <c r="G4">
        <v>-32.769542836640532</v>
      </c>
      <c r="H4">
        <v>14.738109655775499</v>
      </c>
      <c r="I4">
        <v>-9.7837781608600771</v>
      </c>
      <c r="J4">
        <v>365.64613724485071</v>
      </c>
      <c r="K4">
        <v>-33.039063997919357</v>
      </c>
      <c r="L4">
        <v>15.721829452002041</v>
      </c>
      <c r="M4">
        <v>-9.0940488118300458</v>
      </c>
      <c r="N4">
        <v>361.45715411339808</v>
      </c>
      <c r="O4">
        <f t="shared" si="0"/>
        <v>-1991</v>
      </c>
      <c r="P4">
        <v>-33.677188399695943</v>
      </c>
      <c r="Q4">
        <v>15.18918553641381</v>
      </c>
      <c r="R4">
        <v>-9.3049862887430468</v>
      </c>
      <c r="S4">
        <v>395.50767421392021</v>
      </c>
      <c r="T4">
        <f t="shared" si="1"/>
        <v>-34.050520100522135</v>
      </c>
      <c r="U4">
        <f t="shared" si="2"/>
        <v>-29.861536969069505</v>
      </c>
      <c r="V4">
        <f t="shared" si="3"/>
        <v>0.21093747691300102</v>
      </c>
      <c r="W4">
        <f t="shared" si="4"/>
        <v>-0.47879187211703034</v>
      </c>
    </row>
    <row r="5" spans="1:23" x14ac:dyDescent="0.2">
      <c r="A5" t="s">
        <v>21</v>
      </c>
      <c r="B5">
        <v>-34</v>
      </c>
      <c r="C5">
        <v>-28.266666666666669</v>
      </c>
      <c r="D5">
        <v>17.8</v>
      </c>
      <c r="E5">
        <v>-5.7600000000000007</v>
      </c>
      <c r="F5">
        <v>463.66666666666669</v>
      </c>
      <c r="G5">
        <v>-30.755364975622911</v>
      </c>
      <c r="H5">
        <v>15.217929376669151</v>
      </c>
      <c r="I5">
        <v>-8.5964500386895502</v>
      </c>
      <c r="J5">
        <v>403.19929262955361</v>
      </c>
      <c r="K5">
        <v>-30.84974015819023</v>
      </c>
      <c r="L5">
        <v>16.350700931658722</v>
      </c>
      <c r="M5">
        <v>-7.3741719482338013</v>
      </c>
      <c r="N5">
        <v>393.54078519710532</v>
      </c>
      <c r="O5">
        <f t="shared" si="0"/>
        <v>-1984</v>
      </c>
      <c r="P5">
        <v>-32.502263317872618</v>
      </c>
      <c r="Q5">
        <v>16.123602508919191</v>
      </c>
      <c r="R5">
        <v>-8.3734299807618893</v>
      </c>
      <c r="S5">
        <v>416.42812504835427</v>
      </c>
      <c r="T5">
        <f t="shared" si="1"/>
        <v>-22.887339851248953</v>
      </c>
      <c r="U5">
        <f t="shared" si="2"/>
        <v>-13.228832418800664</v>
      </c>
      <c r="V5">
        <f t="shared" si="3"/>
        <v>0.99925803252808798</v>
      </c>
      <c r="W5">
        <f t="shared" si="4"/>
        <v>-0.22302005792766089</v>
      </c>
    </row>
    <row r="6" spans="1:23" x14ac:dyDescent="0.2">
      <c r="A6" t="s">
        <v>22</v>
      </c>
      <c r="B6">
        <v>-21</v>
      </c>
      <c r="C6">
        <v>-31.1</v>
      </c>
      <c r="D6">
        <v>16.600000000000001</v>
      </c>
      <c r="E6">
        <v>-7.8999999999999986</v>
      </c>
      <c r="F6">
        <v>456.66666666666669</v>
      </c>
      <c r="G6">
        <v>-32.12246044342767</v>
      </c>
      <c r="H6">
        <v>15.071699222817379</v>
      </c>
      <c r="I6">
        <v>-9.2505410515704973</v>
      </c>
      <c r="J6">
        <v>380.05956520896012</v>
      </c>
      <c r="K6">
        <v>-32.531434077347683</v>
      </c>
      <c r="L6">
        <v>14.78819216009391</v>
      </c>
      <c r="M6">
        <v>-9.8220250019079085</v>
      </c>
      <c r="N6">
        <v>352.8253752973651</v>
      </c>
      <c r="O6">
        <f t="shared" si="0"/>
        <v>-1971</v>
      </c>
      <c r="P6">
        <v>-34.898116130833877</v>
      </c>
      <c r="Q6">
        <v>16.695196927106188</v>
      </c>
      <c r="R6">
        <v>-9.3852431549013211</v>
      </c>
      <c r="S6">
        <v>346.477707523265</v>
      </c>
      <c r="T6">
        <f t="shared" si="1"/>
        <v>6.3476677741001026</v>
      </c>
      <c r="U6">
        <f t="shared" si="2"/>
        <v>33.581857685695127</v>
      </c>
      <c r="V6">
        <f t="shared" si="3"/>
        <v>-0.4367818470065874</v>
      </c>
      <c r="W6">
        <f t="shared" si="4"/>
        <v>0.13470210333082377</v>
      </c>
    </row>
    <row r="7" spans="1:23" x14ac:dyDescent="0.2">
      <c r="A7" t="s">
        <v>23</v>
      </c>
      <c r="B7">
        <v>-14</v>
      </c>
      <c r="C7">
        <v>-32.466666666666669</v>
      </c>
      <c r="D7">
        <v>11.55</v>
      </c>
      <c r="E7">
        <v>-12.27333333333333</v>
      </c>
      <c r="F7">
        <v>320.66666666666669</v>
      </c>
      <c r="G7">
        <v>-33.227418574503019</v>
      </c>
      <c r="H7">
        <v>14.68318179569923</v>
      </c>
      <c r="I7">
        <v>-9.9442843342637346</v>
      </c>
      <c r="J7">
        <v>352.44653625231678</v>
      </c>
      <c r="K7">
        <v>-33.943127389711883</v>
      </c>
      <c r="L7">
        <v>14.67969677635576</v>
      </c>
      <c r="M7">
        <v>-10.343409686094731</v>
      </c>
      <c r="N7">
        <v>314.20646643044603</v>
      </c>
      <c r="O7">
        <f t="shared" si="0"/>
        <v>-1964</v>
      </c>
      <c r="P7">
        <v>-34.160909557618481</v>
      </c>
      <c r="Q7">
        <v>14.95494093543893</v>
      </c>
      <c r="R7">
        <v>-10.443286535861841</v>
      </c>
      <c r="S7">
        <v>327.57466446588279</v>
      </c>
      <c r="T7">
        <f t="shared" si="1"/>
        <v>-13.368198035436762</v>
      </c>
      <c r="U7">
        <f t="shared" si="2"/>
        <v>24.871871786433985</v>
      </c>
      <c r="V7">
        <f t="shared" si="3"/>
        <v>9.9876849767110087E-2</v>
      </c>
      <c r="W7">
        <f t="shared" si="4"/>
        <v>0.49900220159810615</v>
      </c>
    </row>
    <row r="8" spans="1:23" x14ac:dyDescent="0.2">
      <c r="A8" t="s">
        <v>24</v>
      </c>
      <c r="B8">
        <v>-8</v>
      </c>
      <c r="C8">
        <v>-32.166666666666657</v>
      </c>
      <c r="D8">
        <v>16.350000000000001</v>
      </c>
      <c r="E8">
        <v>-9.5133333333333336</v>
      </c>
      <c r="F8">
        <v>393.66666666666669</v>
      </c>
      <c r="G8">
        <v>-31.650274452577211</v>
      </c>
      <c r="H8">
        <v>14.72727628423903</v>
      </c>
      <c r="I8">
        <v>-9.3393857112805669</v>
      </c>
      <c r="J8">
        <v>382.86376181273857</v>
      </c>
      <c r="K8">
        <v>-31.617449752962312</v>
      </c>
      <c r="L8">
        <v>14.70359276095758</v>
      </c>
      <c r="M8">
        <v>-9.488721599159808</v>
      </c>
      <c r="N8">
        <v>367.91813059457837</v>
      </c>
      <c r="O8">
        <f t="shared" si="0"/>
        <v>-1958</v>
      </c>
      <c r="P8">
        <v>-33.20051602194691</v>
      </c>
      <c r="Q8">
        <v>15.71444848113172</v>
      </c>
      <c r="R8">
        <v>-9.7813085872611065</v>
      </c>
      <c r="S8">
        <v>350.61249662428048</v>
      </c>
      <c r="T8">
        <f t="shared" si="1"/>
        <v>17.30563397029789</v>
      </c>
      <c r="U8">
        <f t="shared" si="2"/>
        <v>32.251265188458092</v>
      </c>
      <c r="V8">
        <f t="shared" si="3"/>
        <v>0.29258698810129857</v>
      </c>
      <c r="W8">
        <f t="shared" si="4"/>
        <v>0.44192287598053959</v>
      </c>
    </row>
    <row r="9" spans="1:23" x14ac:dyDescent="0.2">
      <c r="A9" t="s">
        <v>25</v>
      </c>
      <c r="B9">
        <v>-1</v>
      </c>
      <c r="C9">
        <v>-27.6</v>
      </c>
      <c r="D9">
        <v>15.5</v>
      </c>
      <c r="E9">
        <v>-7.080000000000001</v>
      </c>
      <c r="F9">
        <v>547</v>
      </c>
      <c r="G9">
        <v>-32.069841344746081</v>
      </c>
      <c r="H9">
        <v>15.225646652629139</v>
      </c>
      <c r="I9">
        <v>-9.1610241021634344</v>
      </c>
      <c r="J9">
        <v>384.50052888498482</v>
      </c>
      <c r="K9">
        <v>-31.795120788266701</v>
      </c>
      <c r="L9">
        <v>14.999062760037379</v>
      </c>
      <c r="M9">
        <v>-9.3472056215038375</v>
      </c>
      <c r="N9">
        <v>380.10707843475012</v>
      </c>
      <c r="O9">
        <f t="shared" si="0"/>
        <v>-1951</v>
      </c>
      <c r="P9">
        <v>-33.680734989487362</v>
      </c>
      <c r="Q9">
        <v>16.57146251712928</v>
      </c>
      <c r="R9">
        <v>-8.9632059081300177</v>
      </c>
      <c r="S9">
        <v>368.1590432212052</v>
      </c>
      <c r="T9">
        <f t="shared" si="1"/>
        <v>11.948035213544927</v>
      </c>
      <c r="U9">
        <f t="shared" si="2"/>
        <v>16.341485663779622</v>
      </c>
      <c r="V9">
        <f t="shared" si="3"/>
        <v>-0.38399971337381977</v>
      </c>
      <c r="W9">
        <f t="shared" si="4"/>
        <v>-0.19781819403341672</v>
      </c>
    </row>
    <row r="10" spans="1:23" x14ac:dyDescent="0.2">
      <c r="A10" t="s">
        <v>26</v>
      </c>
      <c r="B10">
        <v>7</v>
      </c>
      <c r="C10">
        <v>-27.6</v>
      </c>
      <c r="D10">
        <v>15.5</v>
      </c>
      <c r="E10">
        <v>-7.080000000000001</v>
      </c>
      <c r="F10">
        <v>547</v>
      </c>
      <c r="G10">
        <v>-31.718116580811198</v>
      </c>
      <c r="H10">
        <v>15.68560731791352</v>
      </c>
      <c r="I10">
        <v>-8.6336090421181808</v>
      </c>
      <c r="J10">
        <v>403.20991187846079</v>
      </c>
      <c r="K10">
        <v>-31.27110555674416</v>
      </c>
      <c r="L10">
        <v>14.96510544129463</v>
      </c>
      <c r="M10">
        <v>-8.8738195480481981</v>
      </c>
      <c r="N10">
        <v>418.0647355493532</v>
      </c>
      <c r="O10">
        <f t="shared" si="0"/>
        <v>-1943</v>
      </c>
      <c r="P10">
        <v>-31.635223400482332</v>
      </c>
      <c r="Q10">
        <v>16.15743498193644</v>
      </c>
      <c r="R10">
        <v>-8.9812457141865014</v>
      </c>
      <c r="S10">
        <v>397.37536395156769</v>
      </c>
      <c r="T10">
        <f t="shared" si="1"/>
        <v>20.689371597785509</v>
      </c>
      <c r="U10">
        <f t="shared" si="2"/>
        <v>5.8345479268930944</v>
      </c>
      <c r="V10">
        <f t="shared" si="3"/>
        <v>0.10742616613830336</v>
      </c>
      <c r="W10">
        <f t="shared" si="4"/>
        <v>0.34763667206832061</v>
      </c>
    </row>
    <row r="11" spans="1:23" x14ac:dyDescent="0.2">
      <c r="A11" t="s">
        <v>27</v>
      </c>
      <c r="B11">
        <v>15</v>
      </c>
      <c r="C11">
        <v>-32</v>
      </c>
      <c r="D11">
        <v>16.350000000000001</v>
      </c>
      <c r="E11">
        <v>-7.5466666666666669</v>
      </c>
      <c r="F11">
        <v>431</v>
      </c>
      <c r="G11">
        <v>-32.771700652213177</v>
      </c>
      <c r="H11">
        <v>14.993694796579669</v>
      </c>
      <c r="I11">
        <v>-9.5800555882225247</v>
      </c>
      <c r="J11">
        <v>366.23785289465928</v>
      </c>
      <c r="K11">
        <v>-32.589498384884713</v>
      </c>
      <c r="L11">
        <v>15.503378769280189</v>
      </c>
      <c r="M11">
        <v>-9.106641038285856</v>
      </c>
      <c r="N11">
        <v>363.48530315426422</v>
      </c>
      <c r="O11">
        <f t="shared" si="0"/>
        <v>-1935</v>
      </c>
      <c r="P11">
        <v>-33.620518280980932</v>
      </c>
      <c r="Q11">
        <v>15.36616907131326</v>
      </c>
      <c r="R11">
        <v>-9.8016684676809245</v>
      </c>
      <c r="S11">
        <v>359.68327073008783</v>
      </c>
      <c r="T11">
        <f t="shared" si="1"/>
        <v>3.8020324241763888</v>
      </c>
      <c r="U11">
        <f t="shared" si="2"/>
        <v>6.5545821645714568</v>
      </c>
      <c r="V11">
        <f t="shared" si="3"/>
        <v>0.69502742939506845</v>
      </c>
      <c r="W11">
        <f t="shared" si="4"/>
        <v>0.2216128794583998</v>
      </c>
    </row>
    <row r="12" spans="1:23" x14ac:dyDescent="0.2">
      <c r="A12" t="s">
        <v>28</v>
      </c>
      <c r="B12">
        <v>24</v>
      </c>
      <c r="C12">
        <v>-34.200000000000003</v>
      </c>
      <c r="D12">
        <v>17.2</v>
      </c>
      <c r="E12">
        <v>-7.78</v>
      </c>
      <c r="F12">
        <v>373</v>
      </c>
      <c r="G12">
        <v>-31.904370095190341</v>
      </c>
      <c r="H12">
        <v>15.38529393135501</v>
      </c>
      <c r="I12">
        <v>-8.9922215457084178</v>
      </c>
      <c r="J12">
        <v>398.26311310684099</v>
      </c>
      <c r="K12">
        <v>-31.207905318610852</v>
      </c>
      <c r="L12">
        <v>15.90188212343668</v>
      </c>
      <c r="M12">
        <v>-7.9786681764097942</v>
      </c>
      <c r="N12">
        <v>440.58890748452518</v>
      </c>
      <c r="O12">
        <f t="shared" si="0"/>
        <v>-1926</v>
      </c>
      <c r="P12">
        <v>-32.92090819241588</v>
      </c>
      <c r="Q12">
        <v>15.96944316896179</v>
      </c>
      <c r="R12">
        <v>-9.4808837099128134</v>
      </c>
      <c r="S12">
        <v>383.34149785570912</v>
      </c>
      <c r="T12">
        <f t="shared" si="1"/>
        <v>57.247409628816058</v>
      </c>
      <c r="U12">
        <f t="shared" si="2"/>
        <v>14.921615251131868</v>
      </c>
      <c r="V12">
        <f t="shared" si="3"/>
        <v>1.5022155335030192</v>
      </c>
      <c r="W12">
        <f t="shared" si="4"/>
        <v>0.48866216420439557</v>
      </c>
    </row>
    <row r="13" spans="1:23" x14ac:dyDescent="0.2">
      <c r="A13" t="s">
        <v>29</v>
      </c>
      <c r="B13">
        <v>32</v>
      </c>
      <c r="C13">
        <v>-34.200000000000003</v>
      </c>
      <c r="D13">
        <v>17.2</v>
      </c>
      <c r="E13">
        <v>-7.78</v>
      </c>
      <c r="F13">
        <v>373</v>
      </c>
      <c r="G13">
        <v>-32.368358845725083</v>
      </c>
      <c r="H13">
        <v>15.460939470479589</v>
      </c>
      <c r="I13">
        <v>-9.1165193185132622</v>
      </c>
      <c r="J13">
        <v>393.44421681043099</v>
      </c>
      <c r="K13">
        <v>-31.938403675483571</v>
      </c>
      <c r="L13">
        <v>15.59769898909444</v>
      </c>
      <c r="M13">
        <v>-8.460528794601526</v>
      </c>
      <c r="N13">
        <v>431.04329277676118</v>
      </c>
      <c r="O13">
        <f t="shared" si="0"/>
        <v>-1918</v>
      </c>
      <c r="P13">
        <v>-33.44194823159949</v>
      </c>
      <c r="Q13">
        <v>15.71024097059269</v>
      </c>
      <c r="R13">
        <v>-9.5750602625027277</v>
      </c>
      <c r="S13">
        <v>380.02101451003591</v>
      </c>
      <c r="T13">
        <f t="shared" si="1"/>
        <v>51.022278266725266</v>
      </c>
      <c r="U13">
        <f t="shared" si="2"/>
        <v>13.423202300395076</v>
      </c>
      <c r="V13">
        <f t="shared" si="3"/>
        <v>1.1145314679012017</v>
      </c>
      <c r="W13">
        <f t="shared" si="4"/>
        <v>0.45854094398946543</v>
      </c>
    </row>
    <row r="14" spans="1:23" x14ac:dyDescent="0.2">
      <c r="A14" t="s">
        <v>30</v>
      </c>
      <c r="B14">
        <v>41</v>
      </c>
      <c r="C14">
        <v>-32</v>
      </c>
      <c r="D14">
        <v>16.350000000000001</v>
      </c>
      <c r="E14">
        <v>-7.5466666666666669</v>
      </c>
      <c r="F14">
        <v>431</v>
      </c>
      <c r="G14">
        <v>-31.803195969751709</v>
      </c>
      <c r="H14">
        <v>15.68648005258704</v>
      </c>
      <c r="I14">
        <v>-8.7352061204083462</v>
      </c>
      <c r="J14">
        <v>404.17047586821712</v>
      </c>
      <c r="K14">
        <v>-31.256619796101361</v>
      </c>
      <c r="L14">
        <v>16.634457338304721</v>
      </c>
      <c r="M14">
        <v>-7.2450223720152316</v>
      </c>
      <c r="N14">
        <v>447.48019532007481</v>
      </c>
      <c r="O14">
        <f t="shared" si="0"/>
        <v>-1909</v>
      </c>
      <c r="P14">
        <v>-33.374113451544929</v>
      </c>
      <c r="Q14">
        <v>16.021694830168279</v>
      </c>
      <c r="R14">
        <v>-9.1535342743592611</v>
      </c>
      <c r="S14">
        <v>392.71783939463728</v>
      </c>
      <c r="T14">
        <f t="shared" si="1"/>
        <v>54.762355925437532</v>
      </c>
      <c r="U14">
        <f t="shared" si="2"/>
        <v>11.452636473579844</v>
      </c>
      <c r="V14">
        <f t="shared" si="3"/>
        <v>1.9085119023440296</v>
      </c>
      <c r="W14">
        <f t="shared" si="4"/>
        <v>0.41832815395091494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2025-02-12T15:40:08Z</dcterms:created>
  <dcterms:modified xsi:type="dcterms:W3CDTF">2025-02-12T16:26:19Z</dcterms:modified>
</cp:coreProperties>
</file>